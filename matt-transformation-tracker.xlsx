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orkout Log" sheetId="2" state="visible" r:id="rId4"/>
    <sheet name="Body Metrics" sheetId="3" state="visible" r:id="rId5"/>
    <sheet name="Meal Plan" sheetId="4" state="visible" r:id="rId6"/>
    <sheet name="Strength Progress" sheetId="5" state="visible" r:id="rId7"/>
    <sheet name="Supple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<sst xmlns="http://schemas.openxmlformats.org/spreadsheetml/2006/main" count="291" uniqueCount="240">
  <si>
    <t xml:space="preserve">MATT'S TRANSFORMATION TRACKER</t>
  </si>
  <si>
    <t xml:space="preserve">181 lbs | 5'10" | 6 days/week | UFC North Brunswick | Goal: Build Muscle + Lose Fat + Get Stronger</t>
  </si>
  <si>
    <t xml:space="preserve">CURRENT STATS</t>
  </si>
  <si>
    <t xml:space="preserve">DAILY NUTRITION TARGETS</t>
  </si>
  <si>
    <t xml:space="preserve">Weight</t>
  </si>
  <si>
    <t xml:space="preserve">Calories</t>
  </si>
  <si>
    <t xml:space="preserve">2,650 kcal</t>
  </si>
  <si>
    <t xml:space="preserve">Slight surplus for recomp</t>
  </si>
  <si>
    <t xml:space="preserve">Height</t>
  </si>
  <si>
    <t xml:space="preserve">5'10"</t>
  </si>
  <si>
    <t xml:space="preserve">Protein</t>
  </si>
  <si>
    <t xml:space="preserve">200g (1.1g/lb)</t>
  </si>
  <si>
    <t xml:space="preserve">High for muscle growth</t>
  </si>
  <si>
    <t xml:space="preserve">Body Fat % (est)</t>
  </si>
  <si>
    <t xml:space="preserve">Carbs</t>
  </si>
  <si>
    <t xml:space="preserve">280g</t>
  </si>
  <si>
    <t xml:space="preserve">Fuel for 6 days training</t>
  </si>
  <si>
    <t xml:space="preserve">Goal Weight</t>
  </si>
  <si>
    <t xml:space="preserve">Fat</t>
  </si>
  <si>
    <t xml:space="preserve">80g</t>
  </si>
  <si>
    <t xml:space="preserve">Hormone health</t>
  </si>
  <si>
    <t xml:space="preserve">Water</t>
  </si>
  <si>
    <t xml:space="preserve">1 gallon/day</t>
  </si>
  <si>
    <t xml:space="preserve">Minimum</t>
  </si>
  <si>
    <t xml:space="preserve">6-DAY PUSH/PULL/LEGS (PPL) TRAINING SPLIT</t>
  </si>
  <si>
    <t xml:space="preserve">Day</t>
  </si>
  <si>
    <t xml:space="preserve">Focus</t>
  </si>
  <si>
    <t xml:space="preserve">Key Lifts</t>
  </si>
  <si>
    <t xml:space="preserve">Sets</t>
  </si>
  <si>
    <t xml:space="preserve">Rep Range</t>
  </si>
  <si>
    <t xml:space="preserve">Rest</t>
  </si>
  <si>
    <t xml:space="preserve">Intensity</t>
  </si>
  <si>
    <t xml:space="preserve">Duration</t>
  </si>
  <si>
    <t xml:space="preserve">Mon</t>
  </si>
  <si>
    <t xml:space="preserve">PUSH (Heavy)</t>
  </si>
  <si>
    <t xml:space="preserve">Bench Press, OHP, Incline DB</t>
  </si>
  <si>
    <t xml:space="preserve">20-22</t>
  </si>
  <si>
    <t xml:space="preserve">4-6 reps</t>
  </si>
  <si>
    <t xml:space="preserve">3-4 min</t>
  </si>
  <si>
    <t xml:space="preserve">RPE 8-9</t>
  </si>
  <si>
    <t xml:space="preserve">60-75 min</t>
  </si>
  <si>
    <t xml:space="preserve">Tue</t>
  </si>
  <si>
    <t xml:space="preserve">PULL (Heavy)</t>
  </si>
  <si>
    <t xml:space="preserve">Deadlift, Barbell Rows, Pull-ups</t>
  </si>
  <si>
    <t xml:space="preserve">Wed</t>
  </si>
  <si>
    <t xml:space="preserve">LEGS (Heavy)</t>
  </si>
  <si>
    <t xml:space="preserve">Squat, RDL, Leg Press</t>
  </si>
  <si>
    <t xml:space="preserve">22-24</t>
  </si>
  <si>
    <t xml:space="preserve">70-80 min</t>
  </si>
  <si>
    <t xml:space="preserve">Thu</t>
  </si>
  <si>
    <t xml:space="preserve">PUSH (Volume)</t>
  </si>
  <si>
    <t xml:space="preserve">DB Press, Cable Flies, Laterals</t>
  </si>
  <si>
    <t xml:space="preserve">24-26</t>
  </si>
  <si>
    <t xml:space="preserve">8-12 reps</t>
  </si>
  <si>
    <t xml:space="preserve">60-90s</t>
  </si>
  <si>
    <t xml:space="preserve">RPE 7-8</t>
  </si>
  <si>
    <t xml:space="preserve">55-65 min</t>
  </si>
  <si>
    <t xml:space="preserve">Fri</t>
  </si>
  <si>
    <t xml:space="preserve">PULL (Volume)</t>
  </si>
  <si>
    <t xml:space="preserve">Cable Rows, Face Pulls, Curls</t>
  </si>
  <si>
    <t xml:space="preserve">Sat</t>
  </si>
  <si>
    <t xml:space="preserve">LEGS (Volume)</t>
  </si>
  <si>
    <t xml:space="preserve">Front Squat, Lunges, Leg Curl</t>
  </si>
  <si>
    <t xml:space="preserve">60-70 min</t>
  </si>
  <si>
    <t xml:space="preserve">Sun</t>
  </si>
  <si>
    <t xml:space="preserve">REST / Active Recovery</t>
  </si>
  <si>
    <t xml:space="preserve">Walk, stretch, foam roll</t>
  </si>
  <si>
    <t xml:space="preserve">-</t>
  </si>
  <si>
    <t xml:space="preserve">30 min</t>
  </si>
  <si>
    <t xml:space="preserve">KEY PRINCIPLES FOR YOUR RECOMP</t>
  </si>
  <si>
    <t xml:space="preserve">1. Progressive Overload: Add weight or reps EVERY week. Track everything. If you hit the top of the rep range, go up 5 lbs next session.</t>
  </si>
  <si>
    <t xml:space="preserve">2. Protein Priority: Hit 200g protein EVERY day, no exceptions. This is the #1 driver of muscle growth at your level.</t>
  </si>
  <si>
    <t xml:space="preserve">3. Heavy/Volume Split: Heavy days (Mon-Wed) build strength with compound lifts. Volume days (Thu-Sat) drive hypertrophy with isolation.</t>
  </si>
  <si>
    <t xml:space="preserve">4. Sleep 7-8 Hours: Muscle is built during recovery. This is non-negotiable. Poor sleep = poor gains, period.</t>
  </si>
  <si>
    <t xml:space="preserve">5. Track Your Lifts: Use the Workout Log tab every session. If you don't track it, you can't improve it.</t>
  </si>
  <si>
    <t xml:space="preserve">6. Deload Every 4th Week: Drop all weights 40% for one week. This prevents burnout and lets your CNS recover.</t>
  </si>
  <si>
    <t xml:space="preserve">7. Body Recomp Takes Time: At 181 lbs with muscle, you're past beginner gains. Expect 1-2 lbs muscle/month if everything is dialed in.</t>
  </si>
  <si>
    <t xml:space="preserve">WORKOUT LOG — Track Every Session</t>
  </si>
  <si>
    <t xml:space="preserve">Date</t>
  </si>
  <si>
    <t xml:space="preserve">Exercise</t>
  </si>
  <si>
    <t xml:space="preserve">Set 1 (wt x reps)</t>
  </si>
  <si>
    <t xml:space="preserve">Set 2 (wt x reps)</t>
  </si>
  <si>
    <t xml:space="preserve">Set 3 (wt x reps)</t>
  </si>
  <si>
    <t xml:space="preserve">Set 4 (wt x reps)</t>
  </si>
  <si>
    <t xml:space="preserve">RPE</t>
  </si>
  <si>
    <t xml:space="preserve">Notes / PR?</t>
  </si>
  <si>
    <t xml:space="preserve">Mon - Push Heavy</t>
  </si>
  <si>
    <t xml:space="preserve">Barbell Bench Press</t>
  </si>
  <si>
    <t xml:space="preserve">Overhead Press</t>
  </si>
  <si>
    <t xml:space="preserve">Incline DB Press</t>
  </si>
  <si>
    <t xml:space="preserve">Cable Lateral Raise</t>
  </si>
  <si>
    <t xml:space="preserve">Tricep Pushdown</t>
  </si>
  <si>
    <t xml:space="preserve">Overhead Tricep Extension</t>
  </si>
  <si>
    <t xml:space="preserve">Tue - Pull Heavy</t>
  </si>
  <si>
    <t xml:space="preserve">Conventional Deadlift</t>
  </si>
  <si>
    <t xml:space="preserve">Barbell Row</t>
  </si>
  <si>
    <t xml:space="preserve">Weighted Pull-ups</t>
  </si>
  <si>
    <t xml:space="preserve">Face Pulls</t>
  </si>
  <si>
    <t xml:space="preserve">Barbell Curl</t>
  </si>
  <si>
    <t xml:space="preserve">Hammer Curl</t>
  </si>
  <si>
    <t xml:space="preserve">Wed - Legs Heavy</t>
  </si>
  <si>
    <t xml:space="preserve">Barbell Back Squat</t>
  </si>
  <si>
    <t xml:space="preserve">Romanian Deadlift</t>
  </si>
  <si>
    <t xml:space="preserve">Leg Press</t>
  </si>
  <si>
    <t xml:space="preserve">Walking Lunges</t>
  </si>
  <si>
    <t xml:space="preserve">Seated Calf Raise</t>
  </si>
  <si>
    <t xml:space="preserve">Leg Curl</t>
  </si>
  <si>
    <t xml:space="preserve">Thu - Push Volume</t>
  </si>
  <si>
    <t xml:space="preserve">DB Bench Press</t>
  </si>
  <si>
    <t xml:space="preserve">Machine Shoulder Press</t>
  </si>
  <si>
    <t xml:space="preserve">Cable Fly (low to high)</t>
  </si>
  <si>
    <t xml:space="preserve">Lateral Raise (drop set)</t>
  </si>
  <si>
    <t xml:space="preserve">Skull Crushers</t>
  </si>
  <si>
    <t xml:space="preserve">Cable Kickbacks</t>
  </si>
  <si>
    <t xml:space="preserve">Fri - Pull Volume</t>
  </si>
  <si>
    <t xml:space="preserve">Seated Cable Row</t>
  </si>
  <si>
    <t xml:space="preserve">Lat Pulldown</t>
  </si>
  <si>
    <t xml:space="preserve">Chest-Supported DB Row</t>
  </si>
  <si>
    <t xml:space="preserve">Reverse Fly</t>
  </si>
  <si>
    <t xml:space="preserve">Incline DB Curl</t>
  </si>
  <si>
    <t xml:space="preserve">Cable Curl (21s)</t>
  </si>
  <si>
    <t xml:space="preserve">Sat - Legs Volume</t>
  </si>
  <si>
    <t xml:space="preserve">Front Squat</t>
  </si>
  <si>
    <t xml:space="preserve">Bulgarian Split Squat</t>
  </si>
  <si>
    <t xml:space="preserve">Leg Extension</t>
  </si>
  <si>
    <t xml:space="preserve">Lying Leg Curl</t>
  </si>
  <si>
    <t xml:space="preserve">Hip Thrust</t>
  </si>
  <si>
    <t xml:space="preserve">Standing Calf Raise</t>
  </si>
  <si>
    <t xml:space="preserve">BODY METRICS — Weekly Weigh-In &amp; Measurements</t>
  </si>
  <si>
    <t xml:space="preserve">Week</t>
  </si>
  <si>
    <t xml:space="preserve">Weight (lbs)</t>
  </si>
  <si>
    <t xml:space="preserve">Body Fat %</t>
  </si>
  <si>
    <t xml:space="preserve">Chest (in)</t>
  </si>
  <si>
    <t xml:space="preserve">Waist (in)</t>
  </si>
  <si>
    <t xml:space="preserve">Arms (in)</t>
  </si>
  <si>
    <t xml:space="preserve">Notes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</si>
  <si>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</si>
  <si>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</si>
  <si>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</si>
  <si>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</si>
  <si>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</si>
  <si>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</si>
  <si>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</si>
  <si>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</si>
  <si>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</si>
  <si>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</si>
  <si>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</si>
  <si>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</si>
  <si>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</si>
  <si>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</si>
  <si>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Week 15</t>
  </si>
  <si>
    <t xml:space="preserve">Week 16</t>
  </si>
  <si>
    <t xml:space="preserve">PROGRESS SUMMARY</t>
  </si>
  <si>
    <t xml:space="preserve">Starting Weight</t>
  </si>
  <si>
    <t xml:space="preserve">Current Weight</t>
  </si>
  <si>
    <t xml:space="preserve">Weight Change</t>
  </si>
  <si>
    <t xml:space="preserve">Weeks Tracked</t>
  </si>
  <si>
    <t xml:space="preserve">DAILY MEAL PLAN — 2,650 Calories | 200g Protein</t>
  </si>
  <si>
    <t xml:space="preserve">Meal</t>
  </si>
  <si>
    <t xml:space="preserve">Time</t>
  </si>
  <si>
    <t xml:space="preserve">Food</t>
  </si>
  <si>
    <t xml:space="preserve">Protein (g)</t>
  </si>
  <si>
    <t xml:space="preserve">Carbs (g)</t>
  </si>
  <si>
    <t xml:space="preserve">Fat (g)</t>
  </si>
  <si>
    <t xml:space="preserve">Meal 1</t>
  </si>
  <si>
    <t xml:space="preserve">7:00 AM</t>
  </si>
  <si>
    <t xml:space="preserve">4 whole eggs scrambled + 2 slices Ezekiel bread + 1 avocado</t>
  </si>
  <si>
    <t xml:space="preserve">Meal 2</t>
  </si>
  <si>
    <t xml:space="preserve">10:00 AM</t>
  </si>
  <si>
    <t xml:space="preserve">Greek yogurt (1 cup) + 1 scoop whey + mixed berries + granola</t>
  </si>
  <si>
    <t xml:space="preserve">Pre-Workout</t>
  </si>
  <si>
    <t xml:space="preserve">12:30 PM</t>
  </si>
  <si>
    <t xml:space="preserve">Rice cakes (3) + 2 tbsp peanut butter + banana</t>
  </si>
  <si>
    <t xml:space="preserve">Post-Workout</t>
  </si>
  <si>
    <t xml:space="preserve">2:30 PM</t>
  </si>
  <si>
    <t xml:space="preserve">Whey protein shake (2 scoops) + oats (1 cup) + banana</t>
  </si>
  <si>
    <t xml:space="preserve">Meal 3</t>
  </si>
  <si>
    <t xml:space="preserve">5:30 PM</t>
  </si>
  <si>
    <t xml:space="preserve">8oz chicken breast + 1.5 cups white rice + broccoli + olive oil</t>
  </si>
  <si>
    <t xml:space="preserve">TOTALS</t>
  </si>
  <si>
    <t xml:space="preserve">TARGET</t>
  </si>
  <si>
    <t xml:space="preserve">DIFFERENCE</t>
  </si>
  <si>
    <t xml:space="preserve">MEAL PREP TIPS</t>
  </si>
  <si>
    <t xml:space="preserve">Sunday Prep: Cook 5 lbs chicken breast, 6 cups rice, boil 2 dozen eggs for the week.</t>
  </si>
  <si>
    <t xml:space="preserve">Keep frozen: Bags of broccoli, spinach, mixed berries. Easy and cheap.</t>
  </si>
  <si>
    <t xml:space="preserve">Protein Priorities: Chicken, eggs, Greek yogurt, whey protein. Rotate beef 2x/week for creatine.</t>
  </si>
  <si>
    <t xml:space="preserve">Pre-workout: Eat 60-90 min before training. Carbs + moderate protein, low fat.</t>
  </si>
  <si>
    <t xml:space="preserve">Post-workout: Get 40-50g protein within 60 min. Whey + fast carbs (oats, banana) is ideal.</t>
  </si>
  <si>
    <t xml:space="preserve">Hydration: 1 gallon water/day minimum. Add electrolytes on heavy training days.</t>
  </si>
  <si>
    <t xml:space="preserve">Adjust: If weight stalls for 2+ weeks, add 200 calories. If gaining fat, cut 200.</t>
  </si>
  <si>
    <t xml:space="preserve">STRENGTH TRACKER — Big 4 Lifts</t>
  </si>
  <si>
    <t xml:space="preserve">Bench (lbs)</t>
  </si>
  <si>
    <t xml:space="preserve">Squat (lbs)</t>
  </si>
  <si>
    <t xml:space="preserve">Deadlift (lbs)</t>
  </si>
  <si>
    <t xml:space="preserve">OHP (lbs)</t>
  </si>
  <si>
    <t xml:space="preserve">Total Big 3</t>
  </si>
  <si>
    <t xml:space="preserve">Wilks Score</t>
  </si>
  <si>
    <t xml:space="preserve">CURRENT PERSONAL RECORDS</t>
  </si>
  <si>
    <t xml:space="preserve">Bench Press</t>
  </si>
  <si>
    <t xml:space="preserve">lbs</t>
  </si>
  <si>
    <t xml:space="preserve">Back Squat</t>
  </si>
  <si>
    <t xml:space="preserve">Deadlift</t>
  </si>
  <si>
    <t xml:space="preserve">Big 3 Total</t>
  </si>
  <si>
    <t xml:space="preserve">SUPPLEMENT STACK — Evidence-Based Only</t>
  </si>
  <si>
    <t xml:space="preserve">Supplement</t>
  </si>
  <si>
    <t xml:space="preserve">Dose</t>
  </si>
  <si>
    <t xml:space="preserve">Timing</t>
  </si>
  <si>
    <t xml:space="preserve">Why</t>
  </si>
  <si>
    <t xml:space="preserve">Priority</t>
  </si>
  <si>
    <t xml:space="preserve">Creatine Monohydrate</t>
  </si>
  <si>
    <t xml:space="preserve">5g/day</t>
  </si>
  <si>
    <t xml:space="preserve">Any time (daily)</t>
  </si>
  <si>
    <t xml:space="preserve">Most researched supplement. Increases strength, muscle volume, recovery. Take it every day.</t>
  </si>
  <si>
    <t xml:space="preserve">ESSENTIAL</t>
  </si>
  <si>
    <t xml:space="preserve">Whey Protein</t>
  </si>
  <si>
    <t xml:space="preserve">1-2 scoops/day</t>
  </si>
  <si>
    <t xml:space="preserve">Post-workout + as needed</t>
  </si>
  <si>
    <t xml:space="preserve">Convenient way to hit 200g protein target. Not magic, just food.</t>
  </si>
  <si>
    <t xml:space="preserve">Vitamin D3</t>
  </si>
  <si>
    <t xml:space="preserve">5000 IU/day</t>
  </si>
  <si>
    <t xml:space="preserve">Morning with fat</t>
  </si>
  <si>
    <t xml:space="preserve">Most people are deficient. Supports testosterone, immune function, bone health.</t>
  </si>
  <si>
    <t xml:space="preserve">HIGH</t>
  </si>
  <si>
    <t xml:space="preserve">Fish Oil (Omega-3)</t>
  </si>
  <si>
    <t xml:space="preserve">2-3g EPA/DHA/day</t>
  </si>
  <si>
    <t xml:space="preserve">With meals</t>
  </si>
  <si>
    <t xml:space="preserve">Anti-inflammatory, joint health, heart health. Get quality brand.</t>
  </si>
  <si>
    <t xml:space="preserve">Magnesium Glycinate</t>
  </si>
  <si>
    <t xml:space="preserve">400mg/day</t>
  </si>
  <si>
    <t xml:space="preserve">Before bed</t>
  </si>
  <si>
    <t xml:space="preserve">Sleep quality, recovery, reduces cramps. Most people are deficient.</t>
  </si>
  <si>
    <t xml:space="preserve">Caffeine</t>
  </si>
  <si>
    <t xml:space="preserve">200-400mg</t>
  </si>
  <si>
    <t xml:space="preserve">30 min pre-workout</t>
  </si>
  <si>
    <t xml:space="preserve">Proven performance enhancer. Don't exceed 400mg/day. Cycle off periodically.</t>
  </si>
  <si>
    <t xml:space="preserve">MODERATE</t>
  </si>
  <si>
    <t xml:space="preserve">Zinc</t>
  </si>
  <si>
    <t xml:space="preserve">30mg/day</t>
  </si>
  <si>
    <t xml:space="preserve">Evening</t>
  </si>
  <si>
    <t xml:space="preserve">Supports testosterone if deficient. Don't exceed 40mg/day.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</si>
</sst>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00B4A0"/>
      <name val="Arial"/>
      <family val="0"/>
      <charset val="1"/>
    </font>
    <font>
      <sz val="9"/>
      <color rgb="FF6B728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E5384F"/>
      <name val="Arial"/>
      <family val="0"/>
      <charset val="1"/>
    </font>
    <font>
      <b val="true"/>
      <sz val="10"/>
      <color rgb="FFF5A62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0B1D3A"/>
      <name val="Arial"/>
      <family val="0"/>
      <charset val="1"/>
    </font>
    <font>
      <b val="true"/>
      <sz val="10"/>
      <color rgb="FF1A6E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2"/>
      <color rgb="FF1A6E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B1D3A"/>
        <bgColor rgb="FF1A1A2E"/>
      </patternFill>
    </fill>
    <fill>
      <patternFill patternType="solid">
        <fgColor rgb="FFEFF6FF"/>
        <bgColor rgb="FFFFFFFF"/>
      </patternFill>
    </fill>
    <fill>
      <patternFill patternType="solid">
        <fgColor rgb="FFE8EAEF"/>
        <bgColor rgb="FFEFF6FF"/>
      </patternFill>
    </fill>
    <fill>
      <patternFill patternType="solid">
        <fgColor rgb="FFE5384F"/>
        <bgColor rgb="FF993366"/>
      </patternFill>
    </fill>
    <fill>
      <patternFill patternType="solid">
        <fgColor rgb="FF00B4A0"/>
        <bgColor rgb="FF33CCCC"/>
      </patternFill>
    </fill>
    <fill>
      <patternFill patternType="solid">
        <fgColor rgb="FFF5A623"/>
        <bgColor rgb="FFFFCC00"/>
      </patternFill>
    </fill>
    <fill>
      <patternFill patternType="solid">
        <fgColor rgb="FF1A6EFF"/>
        <bgColor rgb="FF0066CC"/>
      </patternFill>
    </fill>
    <fill>
      <patternFill patternType="solid">
        <fgColor rgb="FF078930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8EAEF"/>
      </left>
      <right style="thin">
        <color rgb="FFE8EAEF"/>
      </right>
      <top style="thin">
        <color rgb="FFE8EAEF"/>
      </top>
      <bottom style="thin">
        <color rgb="FFE8EAEF"/>
      </bottom>
      <diagonal/>
    </border>
    <border diagonalUp="false" diagonalDown="false">
      <left style="thin">
        <color rgb="FFE8EAEF"/>
      </left>
      <right/>
      <top style="thin">
        <color rgb="FFE8EAEF"/>
      </top>
      <bottom style="thin">
        <color rgb="FFE8EA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78930"/>
      <rgbColor rgb="FF000080"/>
      <rgbColor rgb="FF808000"/>
      <rgbColor rgb="FF800080"/>
      <rgbColor rgb="FF008080"/>
      <rgbColor rgb="FFC0C0C0"/>
      <rgbColor rgb="FF808080"/>
      <rgbColor rgb="FF9999FF"/>
      <rgbColor rgb="FFE5384F"/>
      <rgbColor rgb="FFEFF6FF"/>
      <rgbColor rgb="FFE8EA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4A0"/>
      <rgbColor rgb="FFCCFFFF"/>
      <rgbColor rgb="FFCCFFCC"/>
      <rgbColor rgb="FFFFFF99"/>
      <rgbColor rgb="FF99CCFF"/>
      <rgbColor rgb="FFFF99CC"/>
      <rgbColor rgb="FFCC99FF"/>
      <rgbColor rgb="FFFFCC99"/>
      <rgbColor rgb="FF1A6EFF"/>
      <rgbColor rgb="FF33CCCC"/>
      <rgbColor rgb="FF99CC00"/>
      <rgbColor rgb="FFFFCC00"/>
      <rgbColor rgb="FFF5A623"/>
      <rgbColor rgb="FFFF6600"/>
      <rgbColor rgb="FF6B7280"/>
      <rgbColor rgb="FF969696"/>
      <rgbColor rgb="FF0B1D3A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D3A"/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8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2</v>
      </c>
      <c r="B4" s="3"/>
      <c r="C4" s="3"/>
      <c r="D4" s="3"/>
      <c r="F4" s="4" t="s">
        <v>3</v>
      </c>
      <c r="G4" s="4"/>
      <c r="H4" s="4"/>
    </row>
    <row r="5" customFormat="false" ht="22.35" hidden="false" customHeight="false" outlineLevel="0" collapsed="false">
      <c r="A5" s="5" t="s">
        <v>4</v>
      </c>
      <c r="B5" s="6" t="n">
        <v>181</v>
      </c>
      <c r="F5" s="5" t="s">
        <v>5</v>
      </c>
      <c r="G5" s="7" t="s">
        <v>6</v>
      </c>
      <c r="H5" s="8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F6" s="5" t="s">
        <v>10</v>
      </c>
      <c r="G6" s="7" t="s">
        <v>11</v>
      </c>
      <c r="H6" s="8" t="s">
        <v>12</v>
      </c>
    </row>
    <row r="7" customFormat="false" ht="15" hidden="false" customHeight="false" outlineLevel="0" collapsed="false">
      <c r="A7" s="5" t="s">
        <v>13</v>
      </c>
      <c r="B7" s="9"/>
      <c r="F7" s="5" t="s">
        <v>14</v>
      </c>
      <c r="G7" s="7" t="s">
        <v>15</v>
      </c>
      <c r="H7" s="8" t="s">
        <v>16</v>
      </c>
    </row>
    <row r="8" customFormat="false" ht="15" hidden="false" customHeight="false" outlineLevel="0" collapsed="false">
      <c r="A8" s="5" t="s">
        <v>17</v>
      </c>
      <c r="B8" s="9"/>
      <c r="F8" s="5" t="s">
        <v>18</v>
      </c>
      <c r="G8" s="7" t="s">
        <v>19</v>
      </c>
      <c r="H8" s="8" t="s">
        <v>20</v>
      </c>
    </row>
    <row r="9" customFormat="false" ht="15" hidden="false" customHeight="false" outlineLevel="0" collapsed="false">
      <c r="F9" s="5" t="s">
        <v>21</v>
      </c>
      <c r="G9" s="7" t="s">
        <v>22</v>
      </c>
      <c r="H9" s="8" t="s">
        <v>23</v>
      </c>
    </row>
    <row r="12" customFormat="false" ht="15" hidden="false" customHeight="true" outlineLevel="0" collapsed="false">
      <c r="A12" s="3" t="s">
        <v>24</v>
      </c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10" t="s">
        <v>25</v>
      </c>
      <c r="B13" s="10" t="s">
        <v>26</v>
      </c>
      <c r="C13" s="10" t="s">
        <v>27</v>
      </c>
      <c r="D13" s="10" t="s">
        <v>28</v>
      </c>
      <c r="E13" s="10" t="s">
        <v>29</v>
      </c>
      <c r="F13" s="10" t="s">
        <v>30</v>
      </c>
      <c r="G13" s="10" t="s">
        <v>31</v>
      </c>
      <c r="H13" s="10" t="s">
        <v>32</v>
      </c>
    </row>
    <row r="14" customFormat="false" ht="23.85" hidden="false" customHeight="false" outlineLevel="0" collapsed="false">
      <c r="A14" s="6" t="s">
        <v>33</v>
      </c>
      <c r="B14" s="11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6" t="s">
        <v>39</v>
      </c>
      <c r="H14" s="6" t="s">
        <v>40</v>
      </c>
    </row>
    <row r="15" customFormat="false" ht="23.85" hidden="false" customHeight="false" outlineLevel="0" collapsed="false">
      <c r="A15" s="6" t="s">
        <v>41</v>
      </c>
      <c r="B15" s="11" t="s">
        <v>42</v>
      </c>
      <c r="C15" s="6" t="s">
        <v>43</v>
      </c>
      <c r="D15" s="6" t="s">
        <v>36</v>
      </c>
      <c r="E15" s="6" t="s">
        <v>37</v>
      </c>
      <c r="F15" s="6" t="s">
        <v>38</v>
      </c>
      <c r="G15" s="6" t="s">
        <v>39</v>
      </c>
      <c r="H15" s="6" t="s">
        <v>40</v>
      </c>
    </row>
    <row r="16" customFormat="false" ht="23.85" hidden="false" customHeight="false" outlineLevel="0" collapsed="false">
      <c r="A16" s="6" t="s">
        <v>44</v>
      </c>
      <c r="B16" s="11" t="s">
        <v>45</v>
      </c>
      <c r="C16" s="6" t="s">
        <v>46</v>
      </c>
      <c r="D16" s="6" t="s">
        <v>47</v>
      </c>
      <c r="E16" s="6" t="s">
        <v>37</v>
      </c>
      <c r="F16" s="6" t="s">
        <v>38</v>
      </c>
      <c r="G16" s="6" t="s">
        <v>39</v>
      </c>
      <c r="H16" s="6" t="s">
        <v>48</v>
      </c>
    </row>
    <row r="17" customFormat="false" ht="23.85" hidden="false" customHeight="false" outlineLevel="0" collapsed="false">
      <c r="A17" s="6" t="s">
        <v>49</v>
      </c>
      <c r="B17" s="7" t="s">
        <v>50</v>
      </c>
      <c r="C17" s="6" t="s">
        <v>51</v>
      </c>
      <c r="D17" s="6" t="s">
        <v>52</v>
      </c>
      <c r="E17" s="6" t="s">
        <v>53</v>
      </c>
      <c r="F17" s="6" t="s">
        <v>54</v>
      </c>
      <c r="G17" s="6" t="s">
        <v>55</v>
      </c>
      <c r="H17" s="6" t="s">
        <v>56</v>
      </c>
    </row>
    <row r="18" customFormat="false" ht="23.85" hidden="false" customHeight="false" outlineLevel="0" collapsed="false">
      <c r="A18" s="6" t="s">
        <v>57</v>
      </c>
      <c r="B18" s="7" t="s">
        <v>58</v>
      </c>
      <c r="C18" s="6" t="s">
        <v>59</v>
      </c>
      <c r="D18" s="6" t="s">
        <v>52</v>
      </c>
      <c r="E18" s="6" t="s">
        <v>53</v>
      </c>
      <c r="F18" s="6" t="s">
        <v>54</v>
      </c>
      <c r="G18" s="6" t="s">
        <v>55</v>
      </c>
      <c r="H18" s="6" t="s">
        <v>56</v>
      </c>
    </row>
    <row r="19" customFormat="false" ht="23.85" hidden="false" customHeight="false" outlineLevel="0" collapsed="false">
      <c r="A19" s="6" t="s">
        <v>60</v>
      </c>
      <c r="B19" s="7" t="s">
        <v>61</v>
      </c>
      <c r="C19" s="6" t="s">
        <v>62</v>
      </c>
      <c r="D19" s="6" t="s">
        <v>52</v>
      </c>
      <c r="E19" s="6" t="s">
        <v>53</v>
      </c>
      <c r="F19" s="6" t="s">
        <v>54</v>
      </c>
      <c r="G19" s="6" t="s">
        <v>55</v>
      </c>
      <c r="H19" s="6" t="s">
        <v>63</v>
      </c>
    </row>
    <row r="20" customFormat="false" ht="23.85" hidden="false" customHeight="false" outlineLevel="0" collapsed="false">
      <c r="A20" s="6" t="s">
        <v>64</v>
      </c>
      <c r="B20" s="12" t="s">
        <v>65</v>
      </c>
      <c r="C20" s="6" t="s">
        <v>66</v>
      </c>
      <c r="D20" s="6" t="s">
        <v>67</v>
      </c>
      <c r="E20" s="6" t="s">
        <v>67</v>
      </c>
      <c r="F20" s="6" t="s">
        <v>67</v>
      </c>
      <c r="G20" s="6" t="s">
        <v>67</v>
      </c>
      <c r="H20" s="6" t="s">
        <v>68</v>
      </c>
    </row>
    <row r="23" customFormat="false" ht="15" hidden="false" customHeight="true" outlineLevel="0" collapsed="false">
      <c r="A23" s="3" t="s">
        <v>69</v>
      </c>
      <c r="B23" s="3"/>
      <c r="C23" s="3"/>
      <c r="D23" s="3"/>
      <c r="E23" s="3"/>
      <c r="F23" s="3"/>
      <c r="G23" s="3"/>
      <c r="H23" s="3"/>
    </row>
    <row r="24" customFormat="false" ht="15" hidden="false" customHeight="true" outlineLevel="0" collapsed="false">
      <c r="A24" s="13" t="s">
        <v>70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true" outlineLevel="0" collapsed="false">
      <c r="A25" s="13" t="s">
        <v>71</v>
      </c>
      <c r="B25" s="13"/>
      <c r="C25" s="13"/>
      <c r="D25" s="13"/>
      <c r="E25" s="13"/>
      <c r="F25" s="13"/>
      <c r="G25" s="13"/>
      <c r="H25" s="13"/>
    </row>
    <row r="26" customFormat="false" ht="15" hidden="false" customHeight="true" outlineLevel="0" collapsed="false">
      <c r="A26" s="13" t="s">
        <v>72</v>
      </c>
      <c r="B26" s="13"/>
      <c r="C26" s="13"/>
      <c r="D26" s="13"/>
      <c r="E26" s="13"/>
      <c r="F26" s="13"/>
      <c r="G26" s="13"/>
      <c r="H26" s="13"/>
    </row>
    <row r="27" customFormat="false" ht="15" hidden="false" customHeight="true" outlineLevel="0" collapsed="false">
      <c r="A27" s="13" t="s">
        <v>73</v>
      </c>
      <c r="B27" s="13"/>
      <c r="C27" s="13"/>
      <c r="D27" s="13"/>
      <c r="E27" s="13"/>
      <c r="F27" s="13"/>
      <c r="G27" s="13"/>
      <c r="H27" s="13"/>
    </row>
    <row r="28" customFormat="false" ht="15" hidden="false" customHeight="true" outlineLevel="0" collapsed="false">
      <c r="A28" s="13" t="s">
        <v>74</v>
      </c>
      <c r="B28" s="13"/>
      <c r="C28" s="13"/>
      <c r="D28" s="13"/>
      <c r="E28" s="13"/>
      <c r="F28" s="13"/>
      <c r="G28" s="13"/>
      <c r="H28" s="13"/>
    </row>
    <row r="29" customFormat="false" ht="15" hidden="false" customHeight="true" outlineLevel="0" collapsed="false">
      <c r="A29" s="13" t="s">
        <v>75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3" t="s">
        <v>76</v>
      </c>
      <c r="B30" s="13"/>
      <c r="C30" s="13"/>
      <c r="D30" s="13"/>
      <c r="E30" s="13"/>
      <c r="F30" s="13"/>
      <c r="G30" s="13"/>
      <c r="H30" s="13"/>
    </row>
  </sheetData>
  <mergeCells count="13">
    <mergeCell ref="A1:H1"/>
    <mergeCell ref="A2:H2"/>
    <mergeCell ref="A4:D4"/>
    <mergeCell ref="F4:H4"/>
    <mergeCell ref="A12:H12"/>
    <mergeCell ref="A23:H23"/>
    <mergeCell ref="A24:H24"/>
    <mergeCell ref="A25:H25"/>
    <mergeCell ref="A26:H26"/>
    <mergeCell ref="A27:H27"/>
    <mergeCell ref="A28:H28"/>
    <mergeCell ref="A29:H29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5384F"/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8"/>
    <col collapsed="false" customWidth="true" hidden="false" outlineLevel="0" max="8" min="4" style="0" width="16"/>
    <col collapsed="false" customWidth="true" hidden="false" outlineLevel="0" max="9" min="9" style="0" width="22"/>
  </cols>
  <sheetData>
    <row r="1" customFormat="false" ht="17.35" hidden="false" customHeight="true" outlineLevel="0" collapsed="false">
      <c r="A1" s="14" t="s">
        <v>77</v>
      </c>
      <c r="B1" s="14"/>
      <c r="C1" s="14"/>
      <c r="D1" s="14"/>
      <c r="E1" s="14"/>
      <c r="F1" s="14"/>
      <c r="G1" s="14"/>
      <c r="H1" s="14"/>
      <c r="I1" s="14"/>
    </row>
    <row r="2" customFormat="false" ht="26.85" hidden="false" customHeight="false" outlineLevel="0" collapsed="false">
      <c r="A2" s="10" t="s">
        <v>78</v>
      </c>
      <c r="B2" s="10" t="s">
        <v>25</v>
      </c>
      <c r="C2" s="10" t="s">
        <v>79</v>
      </c>
      <c r="D2" s="10" t="s">
        <v>80</v>
      </c>
      <c r="E2" s="10" t="s">
        <v>81</v>
      </c>
      <c r="F2" s="10" t="s">
        <v>82</v>
      </c>
      <c r="G2" s="10" t="s">
        <v>83</v>
      </c>
      <c r="H2" s="10" t="s">
        <v>84</v>
      </c>
      <c r="I2" s="10" t="s">
        <v>85</v>
      </c>
    </row>
    <row r="3" customFormat="false" ht="15" hidden="false" customHeight="false" outlineLevel="0" collapsed="false">
      <c r="A3" s="9"/>
      <c r="B3" s="15" t="s">
        <v>86</v>
      </c>
      <c r="C3" s="6" t="s">
        <v>87</v>
      </c>
      <c r="D3" s="9"/>
      <c r="E3" s="9"/>
      <c r="F3" s="9"/>
      <c r="G3" s="9"/>
      <c r="H3" s="9"/>
      <c r="I3" s="9"/>
    </row>
    <row r="4" customFormat="false" ht="15" hidden="false" customHeight="false" outlineLevel="0" collapsed="false">
      <c r="A4" s="9"/>
      <c r="B4" s="6"/>
      <c r="C4" s="6" t="s">
        <v>88</v>
      </c>
      <c r="D4" s="9"/>
      <c r="E4" s="9"/>
      <c r="F4" s="9"/>
      <c r="G4" s="9"/>
      <c r="H4" s="9"/>
      <c r="I4" s="9"/>
    </row>
    <row r="5" customFormat="false" ht="15" hidden="false" customHeight="false" outlineLevel="0" collapsed="false">
      <c r="A5" s="9"/>
      <c r="B5" s="6"/>
      <c r="C5" s="6" t="s">
        <v>89</v>
      </c>
      <c r="D5" s="9"/>
      <c r="E5" s="9"/>
      <c r="F5" s="9"/>
      <c r="G5" s="9"/>
      <c r="H5" s="9"/>
      <c r="I5" s="9"/>
    </row>
    <row r="6" customFormat="false" ht="15" hidden="false" customHeight="false" outlineLevel="0" collapsed="false">
      <c r="A6" s="9"/>
      <c r="B6" s="6"/>
      <c r="C6" s="6" t="s">
        <v>90</v>
      </c>
      <c r="D6" s="9"/>
      <c r="E6" s="9"/>
      <c r="F6" s="9"/>
      <c r="G6" s="9"/>
      <c r="H6" s="9"/>
      <c r="I6" s="9"/>
    </row>
    <row r="7" customFormat="false" ht="15" hidden="false" customHeight="false" outlineLevel="0" collapsed="false">
      <c r="A7" s="9"/>
      <c r="B7" s="6"/>
      <c r="C7" s="6" t="s">
        <v>91</v>
      </c>
      <c r="D7" s="9"/>
      <c r="E7" s="9"/>
      <c r="F7" s="9"/>
      <c r="G7" s="9"/>
      <c r="H7" s="9"/>
      <c r="I7" s="9"/>
    </row>
    <row r="8" customFormat="false" ht="15" hidden="false" customHeight="false" outlineLevel="0" collapsed="false">
      <c r="A8" s="9"/>
      <c r="B8" s="6"/>
      <c r="C8" s="6" t="s">
        <v>92</v>
      </c>
      <c r="D8" s="9"/>
      <c r="E8" s="9"/>
      <c r="F8" s="9"/>
      <c r="G8" s="9"/>
      <c r="H8" s="9"/>
      <c r="I8" s="9"/>
    </row>
    <row r="9" customFormat="false" ht="15" hidden="false" customHeight="false" outlineLevel="0" collapsed="false">
      <c r="A9" s="9"/>
      <c r="B9" s="15" t="s">
        <v>93</v>
      </c>
      <c r="C9" s="6" t="s">
        <v>94</v>
      </c>
      <c r="D9" s="9"/>
      <c r="E9" s="9"/>
      <c r="F9" s="9"/>
      <c r="G9" s="9"/>
      <c r="H9" s="9"/>
      <c r="I9" s="9"/>
    </row>
    <row r="10" customFormat="false" ht="15" hidden="false" customHeight="false" outlineLevel="0" collapsed="false">
      <c r="A10" s="9"/>
      <c r="B10" s="6"/>
      <c r="C10" s="6" t="s">
        <v>95</v>
      </c>
      <c r="D10" s="9"/>
      <c r="E10" s="9"/>
      <c r="F10" s="9"/>
      <c r="G10" s="9"/>
      <c r="H10" s="9"/>
      <c r="I10" s="9"/>
    </row>
    <row r="11" customFormat="false" ht="15" hidden="false" customHeight="false" outlineLevel="0" collapsed="false">
      <c r="A11" s="9"/>
      <c r="B11" s="6"/>
      <c r="C11" s="6" t="s">
        <v>96</v>
      </c>
      <c r="D11" s="9"/>
      <c r="E11" s="9"/>
      <c r="F11" s="9"/>
      <c r="G11" s="9"/>
      <c r="H11" s="9"/>
      <c r="I11" s="9"/>
    </row>
    <row r="12" customFormat="false" ht="15" hidden="false" customHeight="false" outlineLevel="0" collapsed="false">
      <c r="A12" s="9"/>
      <c r="B12" s="6"/>
      <c r="C12" s="6" t="s">
        <v>97</v>
      </c>
      <c r="D12" s="9"/>
      <c r="E12" s="9"/>
      <c r="F12" s="9"/>
      <c r="G12" s="9"/>
      <c r="H12" s="9"/>
      <c r="I12" s="9"/>
    </row>
    <row r="13" customFormat="false" ht="15" hidden="false" customHeight="false" outlineLevel="0" collapsed="false">
      <c r="A13" s="9"/>
      <c r="B13" s="6"/>
      <c r="C13" s="6" t="s">
        <v>98</v>
      </c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9"/>
      <c r="B14" s="6"/>
      <c r="C14" s="6" t="s">
        <v>99</v>
      </c>
      <c r="D14" s="9"/>
      <c r="E14" s="9"/>
      <c r="F14" s="9"/>
      <c r="G14" s="9"/>
      <c r="H14" s="9"/>
      <c r="I14" s="9"/>
    </row>
    <row r="15" customFormat="false" ht="15" hidden="false" customHeight="false" outlineLevel="0" collapsed="false">
      <c r="A15" s="9"/>
      <c r="B15" s="15" t="s">
        <v>100</v>
      </c>
      <c r="C15" s="6" t="s">
        <v>101</v>
      </c>
      <c r="D15" s="9"/>
      <c r="E15" s="9"/>
      <c r="F15" s="9"/>
      <c r="G15" s="9"/>
      <c r="H15" s="9"/>
      <c r="I15" s="9"/>
    </row>
    <row r="16" customFormat="false" ht="15" hidden="false" customHeight="false" outlineLevel="0" collapsed="false">
      <c r="A16" s="9"/>
      <c r="B16" s="6"/>
      <c r="C16" s="6" t="s">
        <v>102</v>
      </c>
      <c r="D16" s="9"/>
      <c r="E16" s="9"/>
      <c r="F16" s="9"/>
      <c r="G16" s="9"/>
      <c r="H16" s="9"/>
      <c r="I16" s="9"/>
    </row>
    <row r="17" customFormat="false" ht="15" hidden="false" customHeight="false" outlineLevel="0" collapsed="false">
      <c r="A17" s="9"/>
      <c r="B17" s="6"/>
      <c r="C17" s="6" t="s">
        <v>103</v>
      </c>
      <c r="D17" s="9"/>
      <c r="E17" s="9"/>
      <c r="F17" s="9"/>
      <c r="G17" s="9"/>
      <c r="H17" s="9"/>
      <c r="I17" s="9"/>
    </row>
    <row r="18" customFormat="false" ht="15" hidden="false" customHeight="false" outlineLevel="0" collapsed="false">
      <c r="A18" s="9"/>
      <c r="B18" s="6"/>
      <c r="C18" s="6" t="s">
        <v>104</v>
      </c>
      <c r="D18" s="9"/>
      <c r="E18" s="9"/>
      <c r="F18" s="9"/>
      <c r="G18" s="9"/>
      <c r="H18" s="9"/>
      <c r="I18" s="9"/>
    </row>
    <row r="19" customFormat="false" ht="15" hidden="false" customHeight="false" outlineLevel="0" collapsed="false">
      <c r="A19" s="9"/>
      <c r="B19" s="6"/>
      <c r="C19" s="6" t="s">
        <v>105</v>
      </c>
      <c r="D19" s="9"/>
      <c r="E19" s="9"/>
      <c r="F19" s="9"/>
      <c r="G19" s="9"/>
      <c r="H19" s="9"/>
      <c r="I19" s="9"/>
    </row>
    <row r="20" customFormat="false" ht="15" hidden="false" customHeight="false" outlineLevel="0" collapsed="false">
      <c r="A20" s="9"/>
      <c r="B20" s="6"/>
      <c r="C20" s="6" t="s">
        <v>106</v>
      </c>
      <c r="D20" s="9"/>
      <c r="E20" s="9"/>
      <c r="F20" s="9"/>
      <c r="G20" s="9"/>
      <c r="H20" s="9"/>
      <c r="I20" s="9"/>
    </row>
    <row r="21" customFormat="false" ht="15" hidden="false" customHeight="false" outlineLevel="0" collapsed="false">
      <c r="A21" s="9"/>
      <c r="B21" s="15" t="s">
        <v>107</v>
      </c>
      <c r="C21" s="6" t="s">
        <v>108</v>
      </c>
      <c r="D21" s="9"/>
      <c r="E21" s="9"/>
      <c r="F21" s="9"/>
      <c r="G21" s="9"/>
      <c r="H21" s="9"/>
      <c r="I21" s="9"/>
    </row>
    <row r="22" customFormat="false" ht="15" hidden="false" customHeight="false" outlineLevel="0" collapsed="false">
      <c r="A22" s="9"/>
      <c r="B22" s="6"/>
      <c r="C22" s="6" t="s">
        <v>109</v>
      </c>
      <c r="D22" s="9"/>
      <c r="E22" s="9"/>
      <c r="F22" s="9"/>
      <c r="G22" s="9"/>
      <c r="H22" s="9"/>
      <c r="I22" s="9"/>
    </row>
    <row r="23" customFormat="false" ht="15" hidden="false" customHeight="false" outlineLevel="0" collapsed="false">
      <c r="A23" s="9"/>
      <c r="B23" s="6"/>
      <c r="C23" s="6" t="s">
        <v>110</v>
      </c>
      <c r="D23" s="9"/>
      <c r="E23" s="9"/>
      <c r="F23" s="9"/>
      <c r="G23" s="9"/>
      <c r="H23" s="9"/>
      <c r="I23" s="9"/>
    </row>
    <row r="24" customFormat="false" ht="15" hidden="false" customHeight="false" outlineLevel="0" collapsed="false">
      <c r="A24" s="9"/>
      <c r="B24" s="6"/>
      <c r="C24" s="6" t="s">
        <v>111</v>
      </c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9"/>
      <c r="B25" s="6"/>
      <c r="C25" s="6" t="s">
        <v>112</v>
      </c>
      <c r="D25" s="9"/>
      <c r="E25" s="9"/>
      <c r="F25" s="9"/>
      <c r="G25" s="9"/>
      <c r="H25" s="9"/>
      <c r="I25" s="9"/>
    </row>
    <row r="26" customFormat="false" ht="15" hidden="false" customHeight="false" outlineLevel="0" collapsed="false">
      <c r="A26" s="9"/>
      <c r="B26" s="6"/>
      <c r="C26" s="6" t="s">
        <v>113</v>
      </c>
      <c r="D26" s="9"/>
      <c r="E26" s="9"/>
      <c r="F26" s="9"/>
      <c r="G26" s="9"/>
      <c r="H26" s="9"/>
      <c r="I26" s="9"/>
    </row>
    <row r="27" customFormat="false" ht="15" hidden="false" customHeight="false" outlineLevel="0" collapsed="false">
      <c r="A27" s="9"/>
      <c r="B27" s="15" t="s">
        <v>114</v>
      </c>
      <c r="C27" s="6" t="s">
        <v>115</v>
      </c>
      <c r="D27" s="9"/>
      <c r="E27" s="9"/>
      <c r="F27" s="9"/>
      <c r="G27" s="9"/>
      <c r="H27" s="9"/>
      <c r="I27" s="9"/>
    </row>
    <row r="28" customFormat="false" ht="15" hidden="false" customHeight="false" outlineLevel="0" collapsed="false">
      <c r="A28" s="9"/>
      <c r="B28" s="6"/>
      <c r="C28" s="6" t="s">
        <v>116</v>
      </c>
      <c r="D28" s="9"/>
      <c r="E28" s="9"/>
      <c r="F28" s="9"/>
      <c r="G28" s="9"/>
      <c r="H28" s="9"/>
      <c r="I28" s="9"/>
    </row>
    <row r="29" customFormat="false" ht="15" hidden="false" customHeight="false" outlineLevel="0" collapsed="false">
      <c r="A29" s="9"/>
      <c r="B29" s="6"/>
      <c r="C29" s="6" t="s">
        <v>117</v>
      </c>
      <c r="D29" s="9"/>
      <c r="E29" s="9"/>
      <c r="F29" s="9"/>
      <c r="G29" s="9"/>
      <c r="H29" s="9"/>
      <c r="I29" s="9"/>
    </row>
    <row r="30" customFormat="false" ht="15" hidden="false" customHeight="false" outlineLevel="0" collapsed="false">
      <c r="A30" s="9"/>
      <c r="B30" s="6"/>
      <c r="C30" s="6" t="s">
        <v>118</v>
      </c>
      <c r="D30" s="9"/>
      <c r="E30" s="9"/>
      <c r="F30" s="9"/>
      <c r="G30" s="9"/>
      <c r="H30" s="9"/>
      <c r="I30" s="9"/>
    </row>
    <row r="31" customFormat="false" ht="15" hidden="false" customHeight="false" outlineLevel="0" collapsed="false">
      <c r="A31" s="9"/>
      <c r="B31" s="6"/>
      <c r="C31" s="6" t="s">
        <v>119</v>
      </c>
      <c r="D31" s="9"/>
      <c r="E31" s="9"/>
      <c r="F31" s="9"/>
      <c r="G31" s="9"/>
      <c r="H31" s="9"/>
      <c r="I31" s="9"/>
    </row>
    <row r="32" customFormat="false" ht="15" hidden="false" customHeight="false" outlineLevel="0" collapsed="false">
      <c r="A32" s="9"/>
      <c r="B32" s="6"/>
      <c r="C32" s="6" t="s">
        <v>120</v>
      </c>
      <c r="D32" s="9"/>
      <c r="E32" s="9"/>
      <c r="F32" s="9"/>
      <c r="G32" s="9"/>
      <c r="H32" s="9"/>
      <c r="I32" s="9"/>
    </row>
    <row r="33" customFormat="false" ht="15" hidden="false" customHeight="false" outlineLevel="0" collapsed="false">
      <c r="A33" s="9"/>
      <c r="B33" s="15" t="s">
        <v>121</v>
      </c>
      <c r="C33" s="6" t="s">
        <v>122</v>
      </c>
      <c r="D33" s="9"/>
      <c r="E33" s="9"/>
      <c r="F33" s="9"/>
      <c r="G33" s="9"/>
      <c r="H33" s="9"/>
      <c r="I33" s="9"/>
    </row>
    <row r="34" customFormat="false" ht="15" hidden="false" customHeight="false" outlineLevel="0" collapsed="false">
      <c r="A34" s="9"/>
      <c r="B34" s="6"/>
      <c r="C34" s="6" t="s">
        <v>123</v>
      </c>
      <c r="D34" s="9"/>
      <c r="E34" s="9"/>
      <c r="F34" s="9"/>
      <c r="G34" s="9"/>
      <c r="H34" s="9"/>
      <c r="I34" s="9"/>
    </row>
    <row r="35" customFormat="false" ht="15" hidden="false" customHeight="false" outlineLevel="0" collapsed="false">
      <c r="A35" s="9"/>
      <c r="B35" s="6"/>
      <c r="C35" s="6" t="s">
        <v>124</v>
      </c>
      <c r="D35" s="9"/>
      <c r="E35" s="9"/>
      <c r="F35" s="9"/>
      <c r="G35" s="9"/>
      <c r="H35" s="9"/>
      <c r="I35" s="9"/>
    </row>
    <row r="36" customFormat="false" ht="15" hidden="false" customHeight="false" outlineLevel="0" collapsed="false">
      <c r="A36" s="9"/>
      <c r="B36" s="6"/>
      <c r="C36" s="6" t="s">
        <v>125</v>
      </c>
      <c r="D36" s="9"/>
      <c r="E36" s="9"/>
      <c r="F36" s="9"/>
      <c r="G36" s="9"/>
      <c r="H36" s="9"/>
      <c r="I36" s="9"/>
    </row>
    <row r="37" customFormat="false" ht="15" hidden="false" customHeight="false" outlineLevel="0" collapsed="false">
      <c r="A37" s="9"/>
      <c r="B37" s="6"/>
      <c r="C37" s="6" t="s">
        <v>126</v>
      </c>
      <c r="D37" s="9"/>
      <c r="E37" s="9"/>
      <c r="F37" s="9"/>
      <c r="G37" s="9"/>
      <c r="H37" s="9"/>
      <c r="I37" s="9"/>
    </row>
    <row r="38" customFormat="false" ht="15" hidden="false" customHeight="false" outlineLevel="0" collapsed="false">
      <c r="A38" s="9"/>
      <c r="B38" s="6"/>
      <c r="C38" s="6" t="s">
        <v>127</v>
      </c>
      <c r="D38" s="9"/>
      <c r="E38" s="9"/>
      <c r="F38" s="9"/>
      <c r="G38" s="9"/>
      <c r="H38" s="9"/>
      <c r="I38" s="9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4A0"/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7" min="1" style="0" width="16"/>
    <col collapsed="false" customWidth="true" hidden="false" outlineLevel="0" max="8" min="8" style="0" width="28"/>
  </cols>
  <sheetData>
    <row r="1" customFormat="false" ht="17.35" hidden="false" customHeight="true" outlineLevel="0" collapsed="false">
      <c r="A1" s="16" t="s">
        <v>128</v>
      </c>
      <c r="B1" s="16"/>
      <c r="C1" s="16"/>
      <c r="D1" s="16"/>
      <c r="E1" s="16"/>
      <c r="F1" s="16"/>
      <c r="G1" s="16"/>
      <c r="H1" s="16"/>
    </row>
    <row r="2" customFormat="false" ht="15" hidden="false" customHeight="false" outlineLevel="0" collapsed="false">
      <c r="A2" s="10" t="s">
        <v>129</v>
      </c>
      <c r="B2" s="10" t="s">
        <v>78</v>
      </c>
      <c r="C2" s="10" t="s">
        <v>130</v>
      </c>
      <c r="D2" s="10" t="s">
        <v>131</v>
      </c>
      <c r="E2" s="10" t="s">
        <v>132</v>
      </c>
      <c r="F2" s="10" t="s">
        <v>133</v>
      </c>
      <c r="G2" s="10" t="s">
        <v>134</v>
      </c>
      <c r="H2" s="10" t="s">
        <v>135</v>
      </c>
    </row>
    <row r="3" customFormat="false" ht="15" hidden="false" customHeight="false" outlineLevel="0" collapsed="false">
      <c r="A3" s="6" t="s">
        <v>136</v>
      </c>
      <c r="B3" s="9"/>
      <c r="C3" s="9" t="n">
        <v>181</v>
      </c>
      <c r="D3" s="9"/>
      <c r="E3" s="9"/>
      <c r="F3" s="9"/>
      <c r="G3" s="9"/>
      <c r="H3" s="9"/>
    </row>
    <row r="4" customFormat="false" ht="15" hidden="false" customHeight="false" outlineLevel="0" collapsed="false">
      <c r="A4" s="6" t="s">
        <v>137</v>
      </c>
      <c r="B4" s="9"/>
      <c r="C4" s="9"/>
      <c r="D4" s="9"/>
      <c r="E4" s="9"/>
      <c r="F4" s="9"/>
      <c r="G4" s="9"/>
      <c r="H4" s="9"/>
    </row>
    <row r="5" customFormat="false" ht="15" hidden="false" customHeight="false" outlineLevel="0" collapsed="false">
      <c r="A5" s="6" t="s">
        <v>138</v>
      </c>
      <c r="B5" s="9"/>
      <c r="C5" s="9"/>
      <c r="D5" s="9"/>
      <c r="E5" s="9"/>
      <c r="F5" s="9"/>
      <c r="G5" s="9"/>
      <c r="H5" s="9"/>
    </row>
    <row r="6" customFormat="false" ht="15" hidden="false" customHeight="false" outlineLevel="0" collapsed="false">
      <c r="A6" s="6" t="s">
        <v>139</v>
      </c>
      <c r="B6" s="9"/>
      <c r="C6" s="9"/>
      <c r="D6" s="9"/>
      <c r="E6" s="9"/>
      <c r="F6" s="9"/>
      <c r="G6" s="9"/>
      <c r="H6" s="9"/>
    </row>
    <row r="7" customFormat="false" ht="15" hidden="false" customHeight="false" outlineLevel="0" collapsed="false">
      <c r="A7" s="6" t="s">
        <v>140</v>
      </c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6" t="s">
        <v>141</v>
      </c>
      <c r="B8" s="9"/>
      <c r="C8" s="9"/>
      <c r="D8" s="9"/>
      <c r="E8" s="9"/>
      <c r="F8" s="9"/>
      <c r="G8" s="9"/>
      <c r="H8" s="9"/>
    </row>
    <row r="9" customFormat="false" ht="15" hidden="false" customHeight="false" outlineLevel="0" collapsed="false">
      <c r="A9" s="6" t="s">
        <v>142</v>
      </c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6" t="s">
        <v>143</v>
      </c>
      <c r="B10" s="9"/>
      <c r="C10" s="9"/>
      <c r="D10" s="9"/>
      <c r="E10" s="9"/>
      <c r="F10" s="9"/>
      <c r="G10" s="9"/>
      <c r="H10" s="9"/>
    </row>
    <row r="11" customFormat="false" ht="15" hidden="false" customHeight="false" outlineLevel="0" collapsed="false">
      <c r="A11" s="6" t="s">
        <v>144</v>
      </c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6" t="s">
        <v>145</v>
      </c>
      <c r="B12" s="9"/>
      <c r="C12" s="9"/>
      <c r="D12" s="9"/>
      <c r="E12" s="9"/>
      <c r="F12" s="9"/>
      <c r="G12" s="9"/>
      <c r="H12" s="9"/>
    </row>
    <row r="13" customFormat="false" ht="15" hidden="false" customHeight="false" outlineLevel="0" collapsed="false">
      <c r="A13" s="6" t="s">
        <v>146</v>
      </c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6" t="s">
        <v>147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6" t="s">
        <v>148</v>
      </c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6" t="s">
        <v>149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6" t="s">
        <v>150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6" t="s">
        <v>151</v>
      </c>
      <c r="B18" s="9"/>
      <c r="C18" s="9"/>
      <c r="D18" s="9"/>
      <c r="E18" s="9"/>
      <c r="F18" s="9"/>
      <c r="G18" s="9"/>
      <c r="H18" s="9"/>
    </row>
    <row r="20" customFormat="false" ht="15" hidden="false" customHeight="true" outlineLevel="0" collapsed="false">
      <c r="A20" s="3" t="s">
        <v>152</v>
      </c>
      <c r="B20" s="3"/>
      <c r="C20" s="3"/>
      <c r="D20" s="3"/>
    </row>
    <row r="21" customFormat="false" ht="15" hidden="false" customHeight="false" outlineLevel="0" collapsed="false">
      <c r="A21" s="5" t="s">
        <v>153</v>
      </c>
      <c r="C21" s="7" t="n">
        <f aca="false">C3</f>
        <v>181</v>
      </c>
    </row>
    <row r="22" customFormat="false" ht="15" hidden="false" customHeight="false" outlineLevel="0" collapsed="false">
      <c r="A22" s="5" t="s">
        <v>154</v>
      </c>
      <c r="C22" s="7" t="n">
        <f aca="false">INDEX(C3:C18,MATCH(9.99E+307,C3:C18))</f>
        <v>181</v>
      </c>
    </row>
    <row r="23" customFormat="false" ht="15" hidden="false" customHeight="false" outlineLevel="0" collapsed="false">
      <c r="A23" s="5" t="s">
        <v>155</v>
      </c>
      <c r="C23" s="7" t="n">
        <f aca="false">C22-C21</f>
        <v>0</v>
      </c>
    </row>
    <row r="24" customFormat="false" ht="15" hidden="false" customHeight="false" outlineLevel="0" collapsed="false">
      <c r="A24" s="5" t="s">
        <v>156</v>
      </c>
      <c r="C24" s="7" t="n">
        <f aca="false">COUNTA(C3:C18)</f>
        <v>1</v>
      </c>
    </row>
  </sheetData>
  <mergeCells count="2">
    <mergeCell ref="A1:H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A623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42"/>
    <col collapsed="false" customWidth="true" hidden="false" outlineLevel="0" max="7" min="4" style="0" width="14"/>
  </cols>
  <sheetData>
    <row r="1" customFormat="false" ht="17.35" hidden="false" customHeight="true" outlineLevel="0" collapsed="false">
      <c r="A1" s="17" t="s">
        <v>157</v>
      </c>
      <c r="B1" s="17"/>
      <c r="C1" s="17"/>
      <c r="D1" s="17"/>
      <c r="E1" s="17"/>
      <c r="F1" s="17"/>
      <c r="G1" s="17"/>
    </row>
    <row r="2" customFormat="false" ht="15" hidden="false" customHeight="false" outlineLevel="0" collapsed="false">
      <c r="A2" s="10" t="s">
        <v>158</v>
      </c>
      <c r="B2" s="10" t="s">
        <v>159</v>
      </c>
      <c r="C2" s="10" t="s">
        <v>160</v>
      </c>
      <c r="D2" s="10" t="s">
        <v>5</v>
      </c>
      <c r="E2" s="10" t="s">
        <v>161</v>
      </c>
      <c r="F2" s="10" t="s">
        <v>162</v>
      </c>
      <c r="G2" s="10" t="s">
        <v>163</v>
      </c>
    </row>
    <row r="3" customFormat="false" ht="23.85" hidden="false" customHeight="false" outlineLevel="0" collapsed="false">
      <c r="A3" s="6" t="s">
        <v>164</v>
      </c>
      <c r="B3" s="6" t="s">
        <v>165</v>
      </c>
      <c r="C3" s="6" t="s">
        <v>166</v>
      </c>
      <c r="D3" s="6" t="n">
        <v>620</v>
      </c>
      <c r="E3" s="6" t="n">
        <v>36</v>
      </c>
      <c r="F3" s="6" t="n">
        <v>38</v>
      </c>
      <c r="G3" s="6" t="n">
        <v>38</v>
      </c>
    </row>
    <row r="4" customFormat="false" ht="23.85" hidden="false" customHeight="false" outlineLevel="0" collapsed="false">
      <c r="A4" s="6" t="s">
        <v>167</v>
      </c>
      <c r="B4" s="6" t="s">
        <v>168</v>
      </c>
      <c r="C4" s="6" t="s">
        <v>169</v>
      </c>
      <c r="D4" s="6" t="n">
        <v>480</v>
      </c>
      <c r="E4" s="6" t="n">
        <v>48</v>
      </c>
      <c r="F4" s="6" t="n">
        <v>52</v>
      </c>
      <c r="G4" s="6" t="n">
        <v>10</v>
      </c>
    </row>
    <row r="5" customFormat="false" ht="15" hidden="false" customHeight="false" outlineLevel="0" collapsed="false">
      <c r="A5" s="6" t="s">
        <v>170</v>
      </c>
      <c r="B5" s="6" t="s">
        <v>171</v>
      </c>
      <c r="C5" s="6" t="s">
        <v>172</v>
      </c>
      <c r="D5" s="6" t="n">
        <v>380</v>
      </c>
      <c r="E5" s="6" t="n">
        <v>10</v>
      </c>
      <c r="F5" s="6" t="n">
        <v>62</v>
      </c>
      <c r="G5" s="6" t="n">
        <v>14</v>
      </c>
    </row>
    <row r="6" customFormat="false" ht="23.85" hidden="false" customHeight="false" outlineLevel="0" collapsed="false">
      <c r="A6" s="6" t="s">
        <v>173</v>
      </c>
      <c r="B6" s="6" t="s">
        <v>174</v>
      </c>
      <c r="C6" s="6" t="s">
        <v>175</v>
      </c>
      <c r="D6" s="6" t="n">
        <v>520</v>
      </c>
      <c r="E6" s="6" t="n">
        <v>52</v>
      </c>
      <c r="F6" s="6" t="n">
        <v>72</v>
      </c>
      <c r="G6" s="6" t="n">
        <v>6</v>
      </c>
    </row>
    <row r="7" customFormat="false" ht="23.85" hidden="false" customHeight="false" outlineLevel="0" collapsed="false">
      <c r="A7" s="6" t="s">
        <v>176</v>
      </c>
      <c r="B7" s="6" t="s">
        <v>177</v>
      </c>
      <c r="C7" s="6" t="s">
        <v>178</v>
      </c>
      <c r="D7" s="6" t="n">
        <v>650</v>
      </c>
      <c r="E7" s="6" t="n">
        <v>54</v>
      </c>
      <c r="F7" s="6" t="n">
        <v>68</v>
      </c>
      <c r="G7" s="6" t="n">
        <v>14</v>
      </c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</row>
    <row r="9" customFormat="false" ht="15" hidden="false" customHeight="false" outlineLevel="0" collapsed="false">
      <c r="A9" s="10" t="s">
        <v>179</v>
      </c>
      <c r="B9" s="10"/>
      <c r="C9" s="10"/>
      <c r="D9" s="10" t="n">
        <f aca="false">SUM(D3:D8)</f>
        <v>2650</v>
      </c>
      <c r="E9" s="10" t="n">
        <f aca="false">SUM(E3:E8)</f>
        <v>200</v>
      </c>
      <c r="F9" s="10" t="n">
        <f aca="false">SUM(F3:F8)</f>
        <v>292</v>
      </c>
      <c r="G9" s="10" t="n">
        <f aca="false">SUM(G3:G8)</f>
        <v>82</v>
      </c>
    </row>
    <row r="10" customFormat="false" ht="15" hidden="false" customHeight="false" outlineLevel="0" collapsed="false">
      <c r="A10" s="7" t="s">
        <v>180</v>
      </c>
      <c r="B10" s="7"/>
      <c r="C10" s="7"/>
      <c r="D10" s="7" t="n">
        <v>2650</v>
      </c>
      <c r="E10" s="7" t="n">
        <v>200</v>
      </c>
      <c r="F10" s="7" t="n">
        <v>280</v>
      </c>
      <c r="G10" s="7" t="n">
        <v>80</v>
      </c>
    </row>
    <row r="11" customFormat="false" ht="15" hidden="false" customHeight="false" outlineLevel="0" collapsed="false">
      <c r="A11" s="12" t="s">
        <v>181</v>
      </c>
      <c r="B11" s="12"/>
      <c r="C11" s="12"/>
      <c r="D11" s="12" t="n">
        <f aca="false">D9-D10</f>
        <v>0</v>
      </c>
      <c r="E11" s="12" t="n">
        <f aca="false">E9-E10</f>
        <v>0</v>
      </c>
      <c r="F11" s="12" t="n">
        <f aca="false">F9-F10</f>
        <v>12</v>
      </c>
      <c r="G11" s="12" t="n">
        <f aca="false">G9-G10</f>
        <v>2</v>
      </c>
    </row>
    <row r="14" customFormat="false" ht="15" hidden="false" customHeight="true" outlineLevel="0" collapsed="false">
      <c r="A14" s="3" t="s">
        <v>182</v>
      </c>
      <c r="B14" s="3"/>
      <c r="C14" s="3"/>
      <c r="D14" s="3"/>
      <c r="E14" s="3"/>
      <c r="F14" s="3"/>
      <c r="G14" s="3"/>
    </row>
    <row r="15" customFormat="false" ht="15" hidden="false" customHeight="true" outlineLevel="0" collapsed="false">
      <c r="A15" s="13" t="s">
        <v>183</v>
      </c>
      <c r="B15" s="13"/>
      <c r="C15" s="13"/>
      <c r="D15" s="13"/>
      <c r="E15" s="13"/>
      <c r="F15" s="13"/>
      <c r="G15" s="13"/>
    </row>
    <row r="16" customFormat="false" ht="15" hidden="false" customHeight="true" outlineLevel="0" collapsed="false">
      <c r="A16" s="13" t="s">
        <v>184</v>
      </c>
      <c r="B16" s="13"/>
      <c r="C16" s="13"/>
      <c r="D16" s="13"/>
      <c r="E16" s="13"/>
      <c r="F16" s="13"/>
      <c r="G16" s="13"/>
    </row>
    <row r="17" customFormat="false" ht="15" hidden="false" customHeight="true" outlineLevel="0" collapsed="false">
      <c r="A17" s="13" t="s">
        <v>185</v>
      </c>
      <c r="B17" s="13"/>
      <c r="C17" s="13"/>
      <c r="D17" s="13"/>
      <c r="E17" s="13"/>
      <c r="F17" s="13"/>
      <c r="G17" s="13"/>
    </row>
    <row r="18" customFormat="false" ht="15" hidden="false" customHeight="true" outlineLevel="0" collapsed="false">
      <c r="A18" s="13" t="s">
        <v>186</v>
      </c>
      <c r="B18" s="13"/>
      <c r="C18" s="13"/>
      <c r="D18" s="13"/>
      <c r="E18" s="13"/>
      <c r="F18" s="13"/>
      <c r="G18" s="13"/>
    </row>
    <row r="19" customFormat="false" ht="15" hidden="false" customHeight="true" outlineLevel="0" collapsed="false">
      <c r="A19" s="13" t="s">
        <v>187</v>
      </c>
      <c r="B19" s="13"/>
      <c r="C19" s="13"/>
      <c r="D19" s="13"/>
      <c r="E19" s="13"/>
      <c r="F19" s="13"/>
      <c r="G19" s="13"/>
    </row>
    <row r="20" customFormat="false" ht="15" hidden="false" customHeight="true" outlineLevel="0" collapsed="false">
      <c r="A20" s="13" t="s">
        <v>188</v>
      </c>
      <c r="B20" s="13"/>
      <c r="C20" s="13"/>
      <c r="D20" s="13"/>
      <c r="E20" s="13"/>
      <c r="F20" s="13"/>
      <c r="G20" s="13"/>
    </row>
    <row r="21" customFormat="false" ht="15" hidden="false" customHeight="true" outlineLevel="0" collapsed="false">
      <c r="A21" s="13" t="s">
        <v>189</v>
      </c>
      <c r="B21" s="13"/>
      <c r="C21" s="13"/>
      <c r="D21" s="13"/>
      <c r="E21" s="13"/>
      <c r="F21" s="13"/>
      <c r="G21" s="13"/>
    </row>
  </sheetData>
  <mergeCells count="9">
    <mergeCell ref="A1:G1"/>
    <mergeCell ref="A14:G14"/>
    <mergeCell ref="A15:G15"/>
    <mergeCell ref="A16:G16"/>
    <mergeCell ref="A17:G17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6EFF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8" min="1" style="0" width="15"/>
    <col collapsed="false" customWidth="true" hidden="false" outlineLevel="0" max="9" min="9" style="0" width="24"/>
  </cols>
  <sheetData>
    <row r="1" customFormat="false" ht="17.35" hidden="false" customHeight="true" outlineLevel="0" collapsed="false">
      <c r="A1" s="18" t="s">
        <v>190</v>
      </c>
      <c r="B1" s="18"/>
      <c r="C1" s="18"/>
      <c r="D1" s="18"/>
      <c r="E1" s="18"/>
      <c r="F1" s="18"/>
      <c r="G1" s="18"/>
      <c r="H1" s="18"/>
      <c r="I1" s="18"/>
    </row>
    <row r="2" customFormat="false" ht="15" hidden="false" customHeight="false" outlineLevel="0" collapsed="false">
      <c r="A2" s="10" t="s">
        <v>129</v>
      </c>
      <c r="B2" s="10" t="s">
        <v>78</v>
      </c>
      <c r="C2" s="10" t="s">
        <v>191</v>
      </c>
      <c r="D2" s="10" t="s">
        <v>192</v>
      </c>
      <c r="E2" s="10" t="s">
        <v>193</v>
      </c>
      <c r="F2" s="10" t="s">
        <v>194</v>
      </c>
      <c r="G2" s="10" t="s">
        <v>195</v>
      </c>
      <c r="H2" s="10" t="s">
        <v>196</v>
      </c>
      <c r="I2" s="10" t="s">
        <v>135</v>
      </c>
    </row>
    <row r="3" customFormat="false" ht="15" hidden="false" customHeight="false" outlineLevel="0" collapsed="false">
      <c r="A3" s="6" t="s">
        <v>136</v>
      </c>
      <c r="B3" s="9"/>
      <c r="C3" s="9"/>
      <c r="D3" s="9"/>
      <c r="E3" s="9"/>
      <c r="F3" s="9"/>
      <c r="G3" s="19" t="str">
        <f aca="false">IF(AND(C3&lt;&gt;"",D3&lt;&gt;"",E3&lt;&gt;""),C3+D3+E3,"")</f>
        <v/>
      </c>
      <c r="H3" s="9"/>
      <c r="I3" s="9"/>
    </row>
    <row r="4" customFormat="false" ht="15" hidden="false" customHeight="false" outlineLevel="0" collapsed="false">
      <c r="A4" s="6" t="s">
        <v>137</v>
      </c>
      <c r="B4" s="9"/>
      <c r="C4" s="9"/>
      <c r="D4" s="9"/>
      <c r="E4" s="9"/>
      <c r="F4" s="9"/>
      <c r="G4" s="19" t="str">
        <f aca="false">IF(AND(C4&lt;&gt;"",D4&lt;&gt;"",E4&lt;&gt;""),C4+D4+E4,"")</f>
        <v/>
      </c>
      <c r="H4" s="9"/>
      <c r="I4" s="9"/>
    </row>
    <row r="5" customFormat="false" ht="15" hidden="false" customHeight="false" outlineLevel="0" collapsed="false">
      <c r="A5" s="6" t="s">
        <v>138</v>
      </c>
      <c r="B5" s="9"/>
      <c r="C5" s="9"/>
      <c r="D5" s="9"/>
      <c r="E5" s="9"/>
      <c r="F5" s="9"/>
      <c r="G5" s="19" t="str">
        <f aca="false">IF(AND(C5&lt;&gt;"",D5&lt;&gt;"",E5&lt;&gt;""),C5+D5+E5,"")</f>
        <v/>
      </c>
      <c r="H5" s="9"/>
      <c r="I5" s="9"/>
    </row>
    <row r="6" customFormat="false" ht="15" hidden="false" customHeight="false" outlineLevel="0" collapsed="false">
      <c r="A6" s="6" t="s">
        <v>139</v>
      </c>
      <c r="B6" s="9"/>
      <c r="C6" s="9"/>
      <c r="D6" s="9"/>
      <c r="E6" s="9"/>
      <c r="F6" s="9"/>
      <c r="G6" s="19" t="str">
        <f aca="false">IF(AND(C6&lt;&gt;"",D6&lt;&gt;"",E6&lt;&gt;""),C6+D6+E6,"")</f>
        <v/>
      </c>
      <c r="H6" s="9"/>
      <c r="I6" s="9"/>
    </row>
    <row r="7" customFormat="false" ht="15" hidden="false" customHeight="false" outlineLevel="0" collapsed="false">
      <c r="A7" s="6" t="s">
        <v>140</v>
      </c>
      <c r="B7" s="9"/>
      <c r="C7" s="9"/>
      <c r="D7" s="9"/>
      <c r="E7" s="9"/>
      <c r="F7" s="9"/>
      <c r="G7" s="19" t="str">
        <f aca="false">IF(AND(C7&lt;&gt;"",D7&lt;&gt;"",E7&lt;&gt;""),C7+D7+E7,"")</f>
        <v/>
      </c>
      <c r="H7" s="9"/>
      <c r="I7" s="9"/>
    </row>
    <row r="8" customFormat="false" ht="15" hidden="false" customHeight="false" outlineLevel="0" collapsed="false">
      <c r="A8" s="6" t="s">
        <v>141</v>
      </c>
      <c r="B8" s="9"/>
      <c r="C8" s="9"/>
      <c r="D8" s="9"/>
      <c r="E8" s="9"/>
      <c r="F8" s="9"/>
      <c r="G8" s="19" t="str">
        <f aca="false">IF(AND(C8&lt;&gt;"",D8&lt;&gt;"",E8&lt;&gt;""),C8+D8+E8,"")</f>
        <v/>
      </c>
      <c r="H8" s="9"/>
      <c r="I8" s="9"/>
    </row>
    <row r="9" customFormat="false" ht="15" hidden="false" customHeight="false" outlineLevel="0" collapsed="false">
      <c r="A9" s="6" t="s">
        <v>142</v>
      </c>
      <c r="B9" s="9"/>
      <c r="C9" s="9"/>
      <c r="D9" s="9"/>
      <c r="E9" s="9"/>
      <c r="F9" s="9"/>
      <c r="G9" s="19" t="str">
        <f aca="false">IF(AND(C9&lt;&gt;"",D9&lt;&gt;"",E9&lt;&gt;""),C9+D9+E9,"")</f>
        <v/>
      </c>
      <c r="H9" s="9"/>
      <c r="I9" s="9"/>
    </row>
    <row r="10" customFormat="false" ht="15" hidden="false" customHeight="false" outlineLevel="0" collapsed="false">
      <c r="A10" s="6" t="s">
        <v>143</v>
      </c>
      <c r="B10" s="9"/>
      <c r="C10" s="9"/>
      <c r="D10" s="9"/>
      <c r="E10" s="9"/>
      <c r="F10" s="9"/>
      <c r="G10" s="19" t="str">
        <f aca="false">IF(AND(C10&lt;&gt;"",D10&lt;&gt;"",E10&lt;&gt;""),C10+D10+E10,"")</f>
        <v/>
      </c>
      <c r="H10" s="9"/>
      <c r="I10" s="9"/>
    </row>
    <row r="11" customFormat="false" ht="15" hidden="false" customHeight="false" outlineLevel="0" collapsed="false">
      <c r="A11" s="6" t="s">
        <v>144</v>
      </c>
      <c r="B11" s="9"/>
      <c r="C11" s="9"/>
      <c r="D11" s="9"/>
      <c r="E11" s="9"/>
      <c r="F11" s="9"/>
      <c r="G11" s="19" t="str">
        <f aca="false">IF(AND(C11&lt;&gt;"",D11&lt;&gt;"",E11&lt;&gt;""),C11+D11+E11,"")</f>
        <v/>
      </c>
      <c r="H11" s="9"/>
      <c r="I11" s="9"/>
    </row>
    <row r="12" customFormat="false" ht="15" hidden="false" customHeight="false" outlineLevel="0" collapsed="false">
      <c r="A12" s="6" t="s">
        <v>145</v>
      </c>
      <c r="B12" s="9"/>
      <c r="C12" s="9"/>
      <c r="D12" s="9"/>
      <c r="E12" s="9"/>
      <c r="F12" s="9"/>
      <c r="G12" s="19" t="str">
        <f aca="false">IF(AND(C12&lt;&gt;"",D12&lt;&gt;"",E12&lt;&gt;""),C12+D12+E12,"")</f>
        <v/>
      </c>
      <c r="H12" s="9"/>
      <c r="I12" s="9"/>
    </row>
    <row r="13" customFormat="false" ht="15" hidden="false" customHeight="false" outlineLevel="0" collapsed="false">
      <c r="A13" s="6" t="s">
        <v>146</v>
      </c>
      <c r="B13" s="9"/>
      <c r="C13" s="9"/>
      <c r="D13" s="9"/>
      <c r="E13" s="9"/>
      <c r="F13" s="9"/>
      <c r="G13" s="19" t="str">
        <f aca="false">IF(AND(C13&lt;&gt;"",D13&lt;&gt;"",E13&lt;&gt;""),C13+D13+E13,"")</f>
        <v/>
      </c>
      <c r="H13" s="9"/>
      <c r="I13" s="9"/>
    </row>
    <row r="14" customFormat="false" ht="15" hidden="false" customHeight="false" outlineLevel="0" collapsed="false">
      <c r="A14" s="6" t="s">
        <v>147</v>
      </c>
      <c r="B14" s="9"/>
      <c r="C14" s="9"/>
      <c r="D14" s="9"/>
      <c r="E14" s="9"/>
      <c r="F14" s="9"/>
      <c r="G14" s="19" t="str">
        <f aca="false">IF(AND(C14&lt;&gt;"",D14&lt;&gt;"",E14&lt;&gt;""),C14+D14+E14,"")</f>
        <v/>
      </c>
      <c r="H14" s="9"/>
      <c r="I14" s="9"/>
    </row>
    <row r="15" customFormat="false" ht="15" hidden="false" customHeight="false" outlineLevel="0" collapsed="false">
      <c r="A15" s="6" t="s">
        <v>148</v>
      </c>
      <c r="B15" s="9"/>
      <c r="C15" s="9"/>
      <c r="D15" s="9"/>
      <c r="E15" s="9"/>
      <c r="F15" s="9"/>
      <c r="G15" s="19" t="str">
        <f aca="false">IF(AND(C15&lt;&gt;"",D15&lt;&gt;"",E15&lt;&gt;""),C15+D15+E15,"")</f>
        <v/>
      </c>
      <c r="H15" s="9"/>
      <c r="I15" s="9"/>
    </row>
    <row r="16" customFormat="false" ht="15" hidden="false" customHeight="false" outlineLevel="0" collapsed="false">
      <c r="A16" s="6" t="s">
        <v>149</v>
      </c>
      <c r="B16" s="9"/>
      <c r="C16" s="9"/>
      <c r="D16" s="9"/>
      <c r="E16" s="9"/>
      <c r="F16" s="9"/>
      <c r="G16" s="19" t="str">
        <f aca="false">IF(AND(C16&lt;&gt;"",D16&lt;&gt;"",E16&lt;&gt;""),C16+D16+E16,"")</f>
        <v/>
      </c>
      <c r="H16" s="9"/>
      <c r="I16" s="9"/>
    </row>
    <row r="17" customFormat="false" ht="15" hidden="false" customHeight="false" outlineLevel="0" collapsed="false">
      <c r="A17" s="6" t="s">
        <v>150</v>
      </c>
      <c r="B17" s="9"/>
      <c r="C17" s="9"/>
      <c r="D17" s="9"/>
      <c r="E17" s="9"/>
      <c r="F17" s="9"/>
      <c r="G17" s="19" t="str">
        <f aca="false">IF(AND(C17&lt;&gt;"",D17&lt;&gt;"",E17&lt;&gt;""),C17+D17+E17,"")</f>
        <v/>
      </c>
      <c r="H17" s="9"/>
      <c r="I17" s="9"/>
    </row>
    <row r="18" customFormat="false" ht="15" hidden="false" customHeight="false" outlineLevel="0" collapsed="false">
      <c r="A18" s="6" t="s">
        <v>151</v>
      </c>
      <c r="B18" s="9"/>
      <c r="C18" s="9"/>
      <c r="D18" s="9"/>
      <c r="E18" s="9"/>
      <c r="F18" s="9"/>
      <c r="G18" s="19" t="str">
        <f aca="false">IF(AND(C18&lt;&gt;"",D18&lt;&gt;"",E18&lt;&gt;""),C18+D18+E18,"")</f>
        <v/>
      </c>
      <c r="H18" s="9"/>
      <c r="I18" s="9"/>
    </row>
    <row r="20" customFormat="false" ht="15" hidden="false" customHeight="true" outlineLevel="0" collapsed="false">
      <c r="A20" s="3" t="s">
        <v>197</v>
      </c>
      <c r="B20" s="3"/>
      <c r="C20" s="3"/>
      <c r="D20" s="3"/>
      <c r="E20" s="3"/>
    </row>
    <row r="21" customFormat="false" ht="15" hidden="false" customHeight="false" outlineLevel="0" collapsed="false">
      <c r="A21" s="5" t="s">
        <v>198</v>
      </c>
      <c r="B21" s="9"/>
      <c r="C21" s="20" t="s">
        <v>199</v>
      </c>
    </row>
    <row r="22" customFormat="false" ht="15" hidden="false" customHeight="false" outlineLevel="0" collapsed="false">
      <c r="A22" s="5" t="s">
        <v>200</v>
      </c>
      <c r="B22" s="9"/>
      <c r="C22" s="20" t="s">
        <v>199</v>
      </c>
    </row>
    <row r="23" customFormat="false" ht="15" hidden="false" customHeight="false" outlineLevel="0" collapsed="false">
      <c r="A23" s="5" t="s">
        <v>201</v>
      </c>
      <c r="B23" s="9"/>
      <c r="C23" s="20" t="s">
        <v>199</v>
      </c>
    </row>
    <row r="24" customFormat="false" ht="26.85" hidden="false" customHeight="false" outlineLevel="0" collapsed="false">
      <c r="A24" s="5" t="s">
        <v>88</v>
      </c>
      <c r="B24" s="9"/>
      <c r="C24" s="20" t="s">
        <v>199</v>
      </c>
    </row>
    <row r="25" customFormat="false" ht="15" hidden="false" customHeight="false" outlineLevel="0" collapsed="false">
      <c r="A25" s="5" t="s">
        <v>202</v>
      </c>
      <c r="B25" s="21" t="str">
        <f aca="false">IF(AND(B22&lt;&gt;"",B23&lt;&gt;"",B24&lt;&gt;""),B22+B23+B24,"")</f>
        <v/>
      </c>
      <c r="C25" s="20" t="s">
        <v>199</v>
      </c>
    </row>
  </sheetData>
  <mergeCells count="2">
    <mergeCell ref="A1:I1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78930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48"/>
    <col collapsed="false" customWidth="true" hidden="false" outlineLevel="0" max="5" min="5" style="0" width="22"/>
  </cols>
  <sheetData>
    <row r="1" customFormat="false" ht="17.35" hidden="false" customHeight="true" outlineLevel="0" collapsed="false">
      <c r="A1" s="22" t="s">
        <v>203</v>
      </c>
      <c r="B1" s="22"/>
      <c r="C1" s="22"/>
      <c r="D1" s="22"/>
      <c r="E1" s="22"/>
    </row>
    <row r="2" customFormat="false" ht="15" hidden="false" customHeight="false" outlineLevel="0" collapsed="false">
      <c r="A2" s="10" t="s">
        <v>204</v>
      </c>
      <c r="B2" s="10" t="s">
        <v>205</v>
      </c>
      <c r="C2" s="10" t="s">
        <v>206</v>
      </c>
      <c r="D2" s="10" t="s">
        <v>207</v>
      </c>
      <c r="E2" s="10" t="s">
        <v>208</v>
      </c>
    </row>
    <row r="3" customFormat="false" ht="23.85" hidden="false" customHeight="false" outlineLevel="0" collapsed="false">
      <c r="A3" s="6" t="s">
        <v>209</v>
      </c>
      <c r="B3" s="6" t="s">
        <v>210</v>
      </c>
      <c r="C3" s="6" t="s">
        <v>211</v>
      </c>
      <c r="D3" s="6" t="s">
        <v>212</v>
      </c>
      <c r="E3" s="11" t="s">
        <v>213</v>
      </c>
    </row>
    <row r="4" customFormat="false" ht="23.85" hidden="false" customHeight="false" outlineLevel="0" collapsed="false">
      <c r="A4" s="6" t="s">
        <v>214</v>
      </c>
      <c r="B4" s="6" t="s">
        <v>215</v>
      </c>
      <c r="C4" s="6" t="s">
        <v>216</v>
      </c>
      <c r="D4" s="6" t="s">
        <v>217</v>
      </c>
      <c r="E4" s="11" t="s">
        <v>213</v>
      </c>
    </row>
    <row r="5" customFormat="false" ht="23.85" hidden="false" customHeight="false" outlineLevel="0" collapsed="false">
      <c r="A5" s="6" t="s">
        <v>218</v>
      </c>
      <c r="B5" s="6" t="s">
        <v>219</v>
      </c>
      <c r="C5" s="6" t="s">
        <v>220</v>
      </c>
      <c r="D5" s="6" t="s">
        <v>221</v>
      </c>
      <c r="E5" s="12" t="s">
        <v>222</v>
      </c>
    </row>
    <row r="6" customFormat="false" ht="23.85" hidden="false" customHeight="false" outlineLevel="0" collapsed="false">
      <c r="A6" s="6" t="s">
        <v>223</v>
      </c>
      <c r="B6" s="6" t="s">
        <v>224</v>
      </c>
      <c r="C6" s="6" t="s">
        <v>225</v>
      </c>
      <c r="D6" s="6" t="s">
        <v>226</v>
      </c>
      <c r="E6" s="12" t="s">
        <v>222</v>
      </c>
    </row>
    <row r="7" customFormat="false" ht="23.85" hidden="false" customHeight="false" outlineLevel="0" collapsed="false">
      <c r="A7" s="6" t="s">
        <v>227</v>
      </c>
      <c r="B7" s="6" t="s">
        <v>228</v>
      </c>
      <c r="C7" s="6" t="s">
        <v>229</v>
      </c>
      <c r="D7" s="6" t="s">
        <v>230</v>
      </c>
      <c r="E7" s="12" t="s">
        <v>222</v>
      </c>
    </row>
    <row r="8" customFormat="false" ht="23.85" hidden="false" customHeight="false" outlineLevel="0" collapsed="false">
      <c r="A8" s="6" t="s">
        <v>231</v>
      </c>
      <c r="B8" s="6" t="s">
        <v>232</v>
      </c>
      <c r="C8" s="6" t="s">
        <v>233</v>
      </c>
      <c r="D8" s="6" t="s">
        <v>234</v>
      </c>
      <c r="E8" s="7" t="s">
        <v>235</v>
      </c>
    </row>
    <row r="9" customFormat="false" ht="15" hidden="false" customHeight="false" outlineLevel="0" collapsed="false">
      <c r="A9" s="6" t="s">
        <v>236</v>
      </c>
      <c r="B9" s="6" t="s">
        <v>237</v>
      </c>
      <c r="C9" s="6" t="s">
        <v>238</v>
      </c>
      <c r="D9" s="6" t="s">
        <v>239</v>
      </c>
      <c r="E9" s="7" t="s">
        <v>235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2026-02-17T02:02:59Z</dcterms:created>
  <dc:creator>openpyxl</dc:creator>
  <dc:description/>
  <dc:language>en-US</dc:language>
  <cp:lastModifiedBy/>
  <dcterms:modified xsi:type="dcterms:W3CDTF">2026-02-17T02:02:59Z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